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arl\OneDrive\Documentos\Projetos\Projeto Cinema\"/>
    </mc:Choice>
  </mc:AlternateContent>
  <xr:revisionPtr revIDLastSave="0" documentId="13_ncr:1_{36FA2036-A641-436B-AE81-F236668F4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cro por Gêne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<sst xmlns="http://schemas.openxmlformats.org/spreadsheetml/2006/main" count="41" uniqueCount="40">
  <si>
    <t>Total_Filmes</t>
  </si>
  <si>
    <t>Bilheteria_Media</t>
  </si>
  <si>
    <t>Animação</t>
  </si>
  <si>
    <t>$130,526,097</t>
  </si>
  <si>
    <t>Aventura</t>
  </si>
  <si>
    <t>$142,213,295</t>
  </si>
  <si>
    <t>$94,569,356</t>
  </si>
  <si>
    <t>Sci-Fi</t>
  </si>
  <si>
    <t>$115,624,847</t>
  </si>
  <si>
    <t>$75,094,401</t>
  </si>
  <si>
    <t>Família</t>
  </si>
  <si>
    <t>$96,781,490</t>
  </si>
  <si>
    <t>$70,252,450</t>
  </si>
  <si>
    <t>Fantasia</t>
  </si>
  <si>
    <t>$96,433,705</t>
  </si>
  <si>
    <t>$64,587,509</t>
  </si>
  <si>
    <t>Ação</t>
  </si>
  <si>
    <t>$86,241,578</t>
  </si>
  <si>
    <t>$52,097,860</t>
  </si>
  <si>
    <t>Comédia</t>
  </si>
  <si>
    <t>$38,624,985</t>
  </si>
  <si>
    <t>$25,642,932</t>
  </si>
  <si>
    <t>Crime</t>
  </si>
  <si>
    <t>$33,457,481</t>
  </si>
  <si>
    <t>$17,431,199</t>
  </si>
  <si>
    <t>Romance</t>
  </si>
  <si>
    <t>$28,344,510</t>
  </si>
  <si>
    <t>$15,568,721</t>
  </si>
  <si>
    <t>Terror</t>
  </si>
  <si>
    <t>$20,034,773</t>
  </si>
  <si>
    <t>$13,741,129</t>
  </si>
  <si>
    <t>Thriller</t>
  </si>
  <si>
    <t>$25,916,536</t>
  </si>
  <si>
    <t>$12,300,923</t>
  </si>
  <si>
    <t>Drama</t>
  </si>
  <si>
    <t>$15,951,556</t>
  </si>
  <si>
    <t>$7,756,797</t>
  </si>
  <si>
    <t>Gênero</t>
  </si>
  <si>
    <t>Lucro Médio</t>
  </si>
  <si>
    <t>$99.909.794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</si>
</sst>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Quais</a:t>
            </a:r>
            <a:r>
              <a:rPr lang="en-US" b="1" baseline="0">
                <a:solidFill>
                  <a:sysClr val="windowText" lastClr="000000"/>
                </a:solidFill>
              </a:rPr>
              <a:t> os gêneros mais lucrativos no período pós-pandemia (2022-atualmente)?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'Lucro por Gênero'!$K$1</c:f>
              <c:strCache>
                <c:ptCount val="1"/>
                <c:pt idx="0">
                  <c:v>Lucro Médio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BD-4B2D-9B93-6B5894FB97F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BD-4B2D-9B93-6B5894FB97F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BD-4B2D-9B93-6B5894FB97F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EBD-4B2D-9B93-6B5894FB97FB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BD-4B2D-9B93-6B5894FB97FB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EBD-4B2D-9B93-6B5894FB97FB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EBD-4B2D-9B93-6B5894FB97F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EBD-4B2D-9B93-6B5894FB97F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EBD-4B2D-9B93-6B5894FB97F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EBD-4B2D-9B93-6B5894FB97FB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EBD-4B2D-9B93-6B5894FB97F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EBD-4B2D-9B93-6B5894FB97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'Lucro por Gênero'!$G$2:$G$13</c:f>
              <c:strCache>
                <c:ptCount val="12"/>
                <c:pt idx="0">
                  <c:v>Animação</c:v>
                </c:pt>
                <c:pt idx="1">
                  <c:v>Aventura</c:v>
                </c:pt>
                <c:pt idx="2">
                  <c:v>Sci-Fi</c:v>
                </c:pt>
                <c:pt idx="3">
                  <c:v>Família</c:v>
                </c:pt>
                <c:pt idx="4">
                  <c:v>Fantasia</c:v>
                </c:pt>
                <c:pt idx="5">
                  <c:v>Ação</c:v>
                </c:pt>
                <c:pt idx="6">
                  <c:v>Comédia</c:v>
                </c:pt>
                <c:pt idx="7">
                  <c:v>Crime</c:v>
                </c:pt>
                <c:pt idx="8">
                  <c:v>Romance</c:v>
                </c:pt>
                <c:pt idx="9">
                  <c:v>Terror</c:v>
                </c:pt>
                <c:pt idx="10">
                  <c:v>Thriller</c:v>
                </c:pt>
                <c:pt idx="11">
                  <c:v>Drama</c:v>
                </c:pt>
              </c:strCache>
            </c:strRef>
          </c:cat>
          <c:val>
            <c:numRef>
              <c:f>'Lucro por Gênero'!$K$2:$K$13</c:f>
              <c:numCache>
                <c:formatCode>0.00</c:formatCode>
                <c:ptCount val="12"/>
                <c:pt idx="0">
                  <c:v>99909794</c:v>
                </c:pt>
                <c:pt idx="1">
                  <c:v>94569356</c:v>
                </c:pt>
                <c:pt idx="2">
                  <c:v>75094401</c:v>
                </c:pt>
                <c:pt idx="3">
                  <c:v>70252450</c:v>
                </c:pt>
                <c:pt idx="4">
                  <c:v>64587509</c:v>
                </c:pt>
                <c:pt idx="5">
                  <c:v>52097860</c:v>
                </c:pt>
                <c:pt idx="6">
                  <c:v>25642932</c:v>
                </c:pt>
                <c:pt idx="7">
                  <c:v>17431199</c:v>
                </c:pt>
                <c:pt idx="8">
                  <c:v>15568721</c:v>
                </c:pt>
                <c:pt idx="9">
                  <c:v>13741129</c:v>
                </c:pt>
                <c:pt idx="10">
                  <c:v>12300923</c:v>
                </c:pt>
                <c:pt idx="11">
                  <c:v>7756797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D-4B2D-9B93-6B5894FB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791104"/>
        <c:axId val="1344801184"/>
      </c:barChart>
      <c:catAx>
        <c:axId val="134479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Gêneros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4801184"/>
        <c:crosses val="autoZero"/>
        <c:auto val="1"/>
        <c:lblAlgn val="ctr"/>
        <c:lblOffset val="100"/>
        <c:noMultiLvlLbl val="0"/>
      </c:catAx>
      <c:valAx>
        <c:axId val="1344801184"/>
        <c:scaling>
          <c:orientation val="minMax"/>
          <c:max val="1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Lucro Médio (em milhões de $USD)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4791104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</xdr:colOff>
      <xdr:row>0</xdr:row>
      <xdr:rowOff>30480</xdr:rowOff>
    </xdr:from>
    <xdr:to>
      <xdr:col>5</xdr:col>
      <xdr:colOff>370840</xdr:colOff>
      <xdr:row>16</xdr:row>
      <xdr:rowOff>172720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CC4064-0462-6C8C-57AA-7F34BC5B0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K13"/>
  <sheetViews>
    <sheetView tabSelected="1" zoomScale="150" zoomScaleNormal="150" workbookViewId="0">
      <selection activeCell="J5" sqref="J5"/>
    </sheetView>
  </sheetViews>
  <sheetFormatPr defaultRowHeight="14.4" x14ac:dyDescent="0.3"/>
  <cols>
    <col min="1" max="4" width="15.77734375" customWidth="1"/>
    <col min="5" max="5" width="13.21875" customWidth="1"/>
    <col min="6" max="6" width="16.77734375" customWidth="1"/>
    <col min="7" max="7" width="16.21875" customWidth="1"/>
    <col min="8" max="8" width="15.33203125" customWidth="1"/>
    <col min="9" max="9" width="17.21875" customWidth="1"/>
    <col min="10" max="10" width="13.33203125" customWidth="1"/>
    <col min="11" max="11" width="13.6640625" customWidth="1"/>
  </cols>
  <sheetData>
    <row r="1" spans="7:11" x14ac:dyDescent="0.3">
      <c r="G1" s="1" t="s">
        <v>37</v>
      </c>
      <c r="H1" s="1" t="s">
        <v>0</v>
      </c>
      <c r="I1" s="1" t="s">
        <v>1</v>
      </c>
      <c r="J1" s="1" t="s">
        <v>38</v>
      </c>
      <c r="K1" s="1" t="s">
        <v>38</v>
      </c>
    </row>
    <row r="2" spans="7:11" x14ac:dyDescent="0.3">
      <c r="G2" s="4" t="s">
        <v>2</v>
      </c>
      <c r="H2" s="2">
        <v>163</v>
      </c>
      <c r="I2" s="3" t="s">
        <v>3</v>
      </c>
      <c r="J2" s="5" t="s">
        <v>39</v>
      </c>
      <c r="K2" s="6">
        <f>VALUE(SUBSTITUTE(SUBSTITUTE(J2,"$",""),",",""))</f>
        <v>99909794</v>
      </c>
    </row>
    <row r="3" spans="7:11" x14ac:dyDescent="0.3">
      <c r="G3" s="4" t="s">
        <v>4</v>
      </c>
      <c r="H3" s="2">
        <v>315</v>
      </c>
      <c r="I3" s="3" t="s">
        <v>5</v>
      </c>
      <c r="J3" s="5" t="s">
        <v>6</v>
      </c>
      <c r="K3" s="6">
        <f t="shared" ref="K3:K13" si="0">VALUE(SUBSTITUTE(SUBSTITUTE(J3,"$",""),",",""))</f>
        <v>94569356</v>
      </c>
    </row>
    <row r="4" spans="7:11" x14ac:dyDescent="0.3">
      <c r="G4" s="4" t="s">
        <v>7</v>
      </c>
      <c r="H4" s="2">
        <v>241</v>
      </c>
      <c r="I4" s="3" t="s">
        <v>8</v>
      </c>
      <c r="J4" s="5" t="s">
        <v>9</v>
      </c>
      <c r="K4" s="6">
        <f t="shared" si="0"/>
        <v>75094401</v>
      </c>
    </row>
    <row r="5" spans="7:11" x14ac:dyDescent="0.3">
      <c r="G5" s="4" t="s">
        <v>10</v>
      </c>
      <c r="H5" s="2">
        <v>239</v>
      </c>
      <c r="I5" s="3" t="s">
        <v>11</v>
      </c>
      <c r="J5" s="5" t="s">
        <v>12</v>
      </c>
      <c r="K5" s="6">
        <f t="shared" si="0"/>
        <v>70252450</v>
      </c>
    </row>
    <row r="6" spans="7:11" x14ac:dyDescent="0.3">
      <c r="G6" s="4" t="s">
        <v>13</v>
      </c>
      <c r="H6" s="2">
        <v>256</v>
      </c>
      <c r="I6" s="3" t="s">
        <v>14</v>
      </c>
      <c r="J6" s="5" t="s">
        <v>15</v>
      </c>
      <c r="K6" s="6">
        <f t="shared" si="0"/>
        <v>64587509</v>
      </c>
    </row>
    <row r="7" spans="7:11" x14ac:dyDescent="0.3">
      <c r="G7" s="4" t="s">
        <v>16</v>
      </c>
      <c r="H7" s="2">
        <v>492</v>
      </c>
      <c r="I7" s="3" t="s">
        <v>17</v>
      </c>
      <c r="J7" s="5" t="s">
        <v>18</v>
      </c>
      <c r="K7" s="6">
        <f t="shared" si="0"/>
        <v>52097860</v>
      </c>
    </row>
    <row r="8" spans="7:11" x14ac:dyDescent="0.3">
      <c r="G8" s="4" t="s">
        <v>19</v>
      </c>
      <c r="H8" s="2">
        <v>871</v>
      </c>
      <c r="I8" s="3" t="s">
        <v>20</v>
      </c>
      <c r="J8" s="5" t="s">
        <v>21</v>
      </c>
      <c r="K8" s="6">
        <f t="shared" si="0"/>
        <v>25642932</v>
      </c>
    </row>
    <row r="9" spans="7:11" x14ac:dyDescent="0.3">
      <c r="G9" s="4" t="s">
        <v>22</v>
      </c>
      <c r="H9" s="2">
        <v>297</v>
      </c>
      <c r="I9" s="3" t="s">
        <v>23</v>
      </c>
      <c r="J9" s="5" t="s">
        <v>24</v>
      </c>
      <c r="K9" s="6">
        <f t="shared" si="0"/>
        <v>17431199</v>
      </c>
    </row>
    <row r="10" spans="7:11" x14ac:dyDescent="0.3">
      <c r="G10" s="4" t="s">
        <v>25</v>
      </c>
      <c r="H10" s="2">
        <v>269</v>
      </c>
      <c r="I10" s="3" t="s">
        <v>26</v>
      </c>
      <c r="J10" s="5" t="s">
        <v>27</v>
      </c>
      <c r="K10" s="6">
        <f t="shared" si="0"/>
        <v>15568721</v>
      </c>
    </row>
    <row r="11" spans="7:11" x14ac:dyDescent="0.3">
      <c r="G11" s="4" t="s">
        <v>28</v>
      </c>
      <c r="H11" s="2">
        <v>533</v>
      </c>
      <c r="I11" s="3" t="s">
        <v>29</v>
      </c>
      <c r="J11" s="5" t="s">
        <v>30</v>
      </c>
      <c r="K11" s="6">
        <f t="shared" si="0"/>
        <v>13741129</v>
      </c>
    </row>
    <row r="12" spans="7:11" x14ac:dyDescent="0.3">
      <c r="G12" s="4" t="s">
        <v>31</v>
      </c>
      <c r="H12" s="2">
        <v>662</v>
      </c>
      <c r="I12" s="3" t="s">
        <v>32</v>
      </c>
      <c r="J12" s="5" t="s">
        <v>33</v>
      </c>
      <c r="K12" s="6">
        <f t="shared" si="0"/>
        <v>12300923</v>
      </c>
    </row>
    <row r="13" spans="7:11" x14ac:dyDescent="0.3">
      <c r="G13" s="4" t="s">
        <v>34</v>
      </c>
      <c r="H13" s="2">
        <v>1.2929999999999999</v>
      </c>
      <c r="I13" s="3" t="s">
        <v>35</v>
      </c>
      <c r="J13" s="5" t="s">
        <v>36</v>
      </c>
      <c r="K13" s="6">
        <f t="shared" si="0"/>
        <v>7756797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Lucro por Gênero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Kaio Oliveira</cp:lastModifiedBy>
  <dcterms:created xsi:type="dcterms:W3CDTF">2026-05-22T21:01:35Z</dcterms:created>
  <dcterms:modified xsi:type="dcterms:W3CDTF">2026-05-22T21:37:10Z</dcterms:modified>
</cp:coreProperties>
</file>